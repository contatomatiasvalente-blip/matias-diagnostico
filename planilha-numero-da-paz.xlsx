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Marcelo Blois\OneDrive\Desktop\Produto Digital\"/>
    </mc:Choice>
  </mc:AlternateContent>
  <xr:revisionPtr revIDLastSave="0" documentId="8_{7CCB6ECF-9044-4ED4-845D-3912CEF3256F}" xr6:coauthVersionLast="41" xr6:coauthVersionMax="41" xr10:uidLastSave="{00000000-0000-0000-0000-000000000000}"/>
  <bookViews>
    <workbookView xWindow="-120" yWindow="-120" windowWidth="29040" windowHeight="15720" tabRatio="500" xr2:uid="{00000000-000D-0000-FFFF-FFFF00000000}"/>
  </bookViews>
  <sheets>
    <sheet name="Boas-vindas" sheetId="1" r:id="rId1"/>
    <sheet name="Cálculo do Seu Número da Paz" sheetId="2" r:id="rId2"/>
  </sheets>
  <definedNames>
    <definedName name="_xlnm._FilterDatabase" localSheetId="0" hidden="1">'Boas-vindas'!$A$1</definedName>
    <definedName name="_xlnm._FilterDatabase" localSheetId="1" hidden="1">'Cálculo do Seu Número da Paz'!$A$76:$B$78</definedName>
    <definedName name="_xlnm.Print_Area" localSheetId="1">'Cálculo do Seu Número da Paz'!$A$1:$M$82</definedName>
    <definedName name="SlicerCache_Table_1_Col_1">#N/A</definedName>
    <definedName name="SlicerCache_Table_3_Col_1">#N/A</definedName>
    <definedName name="Z_4E1BF907_62AB_44AB_A5D6_65CFC5C00C38_.wvu.FilterData" localSheetId="0" hidden="1">'Boas-vindas'!$A$1</definedName>
    <definedName name="Z_4E1BF907_62AB_44AB_A5D6_65CFC5C00C38_.wvu.FilterData" localSheetId="1" hidden="1">'Cálculo do Seu Número da Paz'!$A$76:$B$78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7" i="2" l="1"/>
  <c r="B79" i="2" s="1"/>
  <c r="B68" i="2"/>
  <c r="M60" i="2"/>
  <c r="L60" i="2"/>
  <c r="K60" i="2"/>
  <c r="J60" i="2"/>
  <c r="I60" i="2"/>
  <c r="H60" i="2"/>
  <c r="G60" i="2"/>
  <c r="F60" i="2"/>
  <c r="E60" i="2"/>
  <c r="D60" i="2"/>
  <c r="C60" i="2"/>
  <c r="B60" i="2"/>
  <c r="M57" i="2"/>
  <c r="M62" i="2" s="1"/>
  <c r="L57" i="2"/>
  <c r="L62" i="2" s="1"/>
  <c r="K57" i="2"/>
  <c r="K62" i="2" s="1"/>
  <c r="J57" i="2"/>
  <c r="J62" i="2" s="1"/>
  <c r="I57" i="2"/>
  <c r="I62" i="2" s="1"/>
  <c r="H57" i="2"/>
  <c r="H62" i="2" s="1"/>
  <c r="G57" i="2"/>
  <c r="G62" i="2" s="1"/>
  <c r="F57" i="2"/>
  <c r="F62" i="2" s="1"/>
  <c r="E57" i="2"/>
  <c r="E62" i="2" s="1"/>
  <c r="D57" i="2"/>
  <c r="D62" i="2" s="1"/>
  <c r="C57" i="2"/>
  <c r="C62" i="2" s="1"/>
  <c r="B57" i="2"/>
  <c r="B62" i="2" s="1"/>
  <c r="M35" i="2"/>
  <c r="M61" i="2" s="1"/>
  <c r="L35" i="2"/>
  <c r="L61" i="2" s="1"/>
  <c r="L63" i="2" s="1"/>
  <c r="K35" i="2"/>
  <c r="K61" i="2" s="1"/>
  <c r="K63" i="2" s="1"/>
  <c r="J35" i="2"/>
  <c r="J61" i="2" s="1"/>
  <c r="J63" i="2" s="1"/>
  <c r="I35" i="2"/>
  <c r="I61" i="2" s="1"/>
  <c r="I63" i="2" s="1"/>
  <c r="H35" i="2"/>
  <c r="H61" i="2" s="1"/>
  <c r="H63" i="2" s="1"/>
  <c r="G35" i="2"/>
  <c r="G61" i="2" s="1"/>
  <c r="G63" i="2" s="1"/>
  <c r="F35" i="2"/>
  <c r="F61" i="2" s="1"/>
  <c r="E35" i="2"/>
  <c r="E61" i="2" s="1"/>
  <c r="E63" i="2" s="1"/>
  <c r="D35" i="2"/>
  <c r="D61" i="2" s="1"/>
  <c r="D63" i="2" s="1"/>
  <c r="C35" i="2"/>
  <c r="C61" i="2" s="1"/>
  <c r="C63" i="2" s="1"/>
  <c r="B35" i="2"/>
  <c r="B61" i="2" s="1"/>
  <c r="B63" i="2" s="1"/>
  <c r="M8" i="2"/>
  <c r="L8" i="2"/>
  <c r="K8" i="2"/>
  <c r="J8" i="2"/>
  <c r="I8" i="2"/>
  <c r="H8" i="2"/>
  <c r="G8" i="2"/>
  <c r="F8" i="2"/>
  <c r="E8" i="2"/>
  <c r="D8" i="2"/>
  <c r="C8" i="2"/>
  <c r="B8" i="2"/>
  <c r="K64" i="2" l="1"/>
  <c r="D64" i="2"/>
  <c r="J64" i="2"/>
  <c r="I64" i="2"/>
  <c r="L64" i="2"/>
  <c r="M63" i="2"/>
  <c r="M64" i="2" s="1"/>
  <c r="C64" i="2"/>
  <c r="E64" i="2"/>
  <c r="F63" i="2"/>
  <c r="F64" i="2"/>
  <c r="G64" i="2"/>
  <c r="H64" i="2"/>
  <c r="B69" i="2"/>
  <c r="B64" i="2"/>
  <c r="B81" i="2"/>
  <c r="B82" i="2"/>
  <c r="B72" i="2" l="1"/>
  <c r="B70" i="2"/>
</calcChain>
</file>

<file path=xl/sharedStrings.xml><?xml version="1.0" encoding="utf-8"?>
<sst xmlns="http://schemas.openxmlformats.org/spreadsheetml/2006/main" count="124" uniqueCount="112">
  <si>
    <t>🧘‍♂️ Seu Número da Paz</t>
  </si>
  <si>
    <t>Encontre sua paz financeira</t>
  </si>
  <si>
    <t>Esqueça os centavos agora</t>
  </si>
  <si>
    <t>Quanto custa viver bem?</t>
  </si>
  <si>
    <t>Viva dentro da sua realidade</t>
  </si>
  <si>
    <t>🎯 Seus Objetivos</t>
  </si>
  <si>
    <t>Analise sua vida financeira</t>
  </si>
  <si>
    <t>Calcule sua paz personalizada</t>
  </si>
  <si>
    <t>Construa sua reserva segura</t>
  </si>
  <si>
    <t>Acompanhe sua evolução mensal</t>
  </si>
  <si>
    <t>💡 O Método</t>
  </si>
  <si>
    <t>Sua paz exige disciplina</t>
  </si>
  <si>
    <t>Contenha seus gastos já</t>
  </si>
  <si>
    <t>Guarde suas reservas sempre</t>
  </si>
  <si>
    <t>Segurança para viver bem</t>
  </si>
  <si>
    <t>Média mensal guia você</t>
  </si>
  <si>
    <t>Caminho rumo à liberdade</t>
  </si>
  <si>
    <t>⚠️ Segurança dos Dados</t>
  </si>
  <si>
    <t>Baixe para seu dispositivo</t>
  </si>
  <si>
    <t>Garanta sua total privacidade</t>
  </si>
  <si>
    <t>Salve em local seguro</t>
  </si>
  <si>
    <t>Só então preencha tudo</t>
  </si>
  <si>
    <t>🚀 Comece Agora</t>
  </si>
  <si>
    <t>Use com muita calma</t>
  </si>
  <si>
    <t>Sem nenhuma pressa aqui</t>
  </si>
  <si>
    <t>Busque clareza, não perfeição</t>
  </si>
  <si>
    <t>Acesse a próxima aba</t>
  </si>
  <si>
    <t>Faça seu diagnóstico 📉</t>
  </si>
  <si>
    <t>Seu Número da Paz 🧘‍♂️</t>
  </si>
  <si>
    <t>📱 Dica para Celular</t>
  </si>
  <si>
    <t>Vire o celular na horizontal</t>
  </si>
  <si>
    <t>Baixe o Excel gratuito (melhor experiência)</t>
  </si>
  <si>
    <t>Role para o lado para ver os meses</t>
  </si>
  <si>
    <t>A coluna de categorias fica sempre visível</t>
  </si>
  <si>
    <t xml:space="preserve">🩻 Raio-X Financeiro </t>
  </si>
  <si>
    <t>💰 RECEITAS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</si>
  <si>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</si>
  <si>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</si>
  <si>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</si>
  <si>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</si>
  <si>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</si>
  <si>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</si>
  <si>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</si>
  <si>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</si>
  <si>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</si>
  <si>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</si>
  <si>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</si>
  <si>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</si>
  <si>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 Salário</t>
  </si>
  <si>
    <t xml:space="preserve">  Renda extra</t>
  </si>
  <si>
    <t xml:space="preserve">  Outras entradas</t>
  </si>
  <si>
    <t xml:space="preserve">  Total de Receitas</t>
  </si>
  <si>
    <t>📉  CUSTOS FIXOS</t>
  </si>
  <si>
    <t>🏠 1. Moradia</t>
  </si>
  <si>
    <t xml:space="preserve">  Aluguel ou Prestação do Imóvel</t>
  </si>
  <si>
    <t xml:space="preserve">  Condomínio</t>
  </si>
  <si>
    <t xml:space="preserve">  IPTU</t>
  </si>
  <si>
    <t xml:space="preserve">  Internet/Planos de Celular</t>
  </si>
  <si>
    <t xml:space="preserve">  Assinaturas (Netflix, etc.)</t>
  </si>
  <si>
    <t>🛡️ 2. Segurança e Saúde</t>
  </si>
  <si>
    <t xml:space="preserve">  Plano de saúde e Odontotógico</t>
  </si>
  <si>
    <t xml:space="preserve">  Seguros (Vida, Carro, etc)</t>
  </si>
  <si>
    <t xml:space="preserve">  Medicamentos de Uso Contínuo</t>
  </si>
  <si>
    <t>📚 3. Educação e Desenvolvimento</t>
  </si>
  <si>
    <t xml:space="preserve">Mensalidade Escolar ou Faculdade </t>
  </si>
  <si>
    <t>Cursos ou Especializações</t>
  </si>
  <si>
    <t>Academias ou Clubes</t>
  </si>
  <si>
    <t>💲4. Compromissos e Serviços:</t>
  </si>
  <si>
    <t>Financiamento de Veículo</t>
  </si>
  <si>
    <t>IPVA e Licenciamento</t>
  </si>
  <si>
    <t>Aluguel de Garagem</t>
  </si>
  <si>
    <t>Diaristas/Mensalistas</t>
  </si>
  <si>
    <t>Tarifas Bancárias</t>
  </si>
  <si>
    <t>Total de Custos Fixos</t>
  </si>
  <si>
    <t>📉  CUSTOS VARIÁVEIS</t>
  </si>
  <si>
    <t>⚡ 5. Contas de Consumo:</t>
  </si>
  <si>
    <t>Energia Elétrica</t>
  </si>
  <si>
    <t>Água e Esgoto</t>
  </si>
  <si>
    <t>Gás</t>
  </si>
  <si>
    <t>🚗 6. Mobilidade e Manutenção :</t>
  </si>
  <si>
    <t>Combustível</t>
  </si>
  <si>
    <t>Transporte (Uber, Ônibus)</t>
  </si>
  <si>
    <t>Manutenção (Pneus, óleo)</t>
  </si>
  <si>
    <t>🛒 7. Alimentação e Higiene:</t>
  </si>
  <si>
    <t>Supermercado e Feira</t>
  </si>
  <si>
    <t>Padaria e itens de conveniência</t>
  </si>
  <si>
    <t>🍔 8. Lazer e Experiências:</t>
  </si>
  <si>
    <t>Restaurantes e Delivery (iFood)</t>
  </si>
  <si>
    <t>Cinema, Shows e Ingressos</t>
  </si>
  <si>
    <t>Hobbies e Pequenos Prazeres</t>
  </si>
  <si>
    <t>Total de Custos Variáveis</t>
  </si>
  <si>
    <t>🗓️   Resumo Mensal</t>
  </si>
  <si>
    <t>Total de Receitas..................................</t>
  </si>
  <si>
    <t>Total de Custos Fixos..............................</t>
  </si>
  <si>
    <t>Total de Custos Variáveis: ......................</t>
  </si>
  <si>
    <t>(=) Despesas Totais do Mês: .................</t>
  </si>
  <si>
    <t>Saldo do Mês: ...........................</t>
  </si>
  <si>
    <t>🧮 Cálculo do Número da Paz</t>
  </si>
  <si>
    <t xml:space="preserve">Receitas (média)                          </t>
  </si>
  <si>
    <t>Custo mensal de vida (média)</t>
  </si>
  <si>
    <t xml:space="preserve">  Margem de segurança (15%)</t>
  </si>
  <si>
    <t xml:space="preserve">  SEU NÚMERO DA PAZ (mensal)</t>
  </si>
  <si>
    <t>📐 Custo + margem de 15%</t>
  </si>
  <si>
    <t>🚶‍♂️ Sua Jornada da Paz</t>
  </si>
  <si>
    <t xml:space="preserve">  Meses de tranquilidade desejada</t>
  </si>
  <si>
    <t>🎯  Você define</t>
  </si>
  <si>
    <t xml:space="preserve">  Meta da Reserva (Colchão de Paz)</t>
  </si>
  <si>
    <t>🤝  Sua meta</t>
  </si>
  <si>
    <t xml:space="preserve">  Reserva total atual</t>
  </si>
  <si>
    <t xml:space="preserve">  Progresso</t>
  </si>
  <si>
    <t xml:space="preserve">  Já conquistado</t>
  </si>
  <si>
    <t xml:space="preserve">  Falta para a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</si>
</sst>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;&quot;(R$ &quot;#,##0\);\-"/>
    <numFmt numFmtId="165" formatCode="0;\-0;\-"/>
  </numFmts>
  <fonts count="25" x14ac:knownFonts="1">
    <font>
      <sz val="11"/>
      <color theme="1"/>
      <name val="Calibri"/>
      <charset val="1"/>
    </font>
    <font>
      <b/>
      <sz val="12"/>
      <color rgb="FFFFFFFF"/>
      <name val="Calibri"/>
      <charset val="1"/>
    </font>
    <font>
      <b/>
      <sz val="12"/>
      <color rgb="FFFFFF00"/>
      <name val="Calibri"/>
      <charset val="1"/>
    </font>
    <font>
      <sz val="12"/>
      <color rgb="FFFFFFFF"/>
      <name val="Calibri"/>
      <charset val="1"/>
    </font>
    <font>
      <sz val="12"/>
      <color rgb="FFFFFFFF"/>
      <name val="Arial"/>
      <charset val="1"/>
    </font>
    <font>
      <b/>
      <sz val="11"/>
      <name val="Cambria"/>
      <charset val="1"/>
    </font>
    <font>
      <sz val="11"/>
      <color rgb="FFFFFFFF"/>
      <name val="Calibri"/>
      <charset val="1"/>
    </font>
    <font>
      <i/>
      <sz val="12"/>
      <color rgb="FFFFFFFF"/>
      <name val="Calibri"/>
      <charset val="1"/>
    </font>
    <font>
      <b/>
      <sz val="16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rgb="FFFFFFFF"/>
      <name val="Calibri"/>
      <charset val="1"/>
    </font>
    <font>
      <sz val="10"/>
      <color theme="1"/>
      <name val="Calibri"/>
      <charset val="1"/>
    </font>
    <font>
      <sz val="11"/>
      <color rgb="FF073763"/>
      <name val="Calibri"/>
      <charset val="1"/>
    </font>
    <font>
      <b/>
      <sz val="10"/>
      <color theme="1"/>
      <name val="Calibri"/>
      <charset val="1"/>
    </font>
    <font>
      <b/>
      <sz val="10"/>
      <color rgb="FF073763"/>
      <name val="Calibri"/>
      <charset val="1"/>
    </font>
    <font>
      <b/>
      <sz val="11"/>
      <color rgb="FF073763"/>
      <name val="Calibri"/>
      <charset val="1"/>
    </font>
    <font>
      <sz val="10"/>
      <color rgb="FFFFFFFF"/>
      <name val="Calibri"/>
      <charset val="1"/>
    </font>
    <font>
      <sz val="11"/>
      <color rgb="FF990000"/>
      <name val="Calibri"/>
      <charset val="1"/>
    </font>
    <font>
      <b/>
      <sz val="11"/>
      <color rgb="FF990000"/>
      <name val="Calibri"/>
      <charset val="1"/>
    </font>
    <font>
      <b/>
      <sz val="11"/>
      <color rgb="FF1C4587"/>
      <name val="Calibri"/>
      <charset val="1"/>
    </font>
    <font>
      <b/>
      <i/>
      <sz val="10"/>
      <color theme="1"/>
      <name val="Calibri"/>
      <charset val="1"/>
    </font>
    <font>
      <b/>
      <i/>
      <sz val="11"/>
      <color theme="1"/>
      <name val="Calibri"/>
      <charset val="1"/>
    </font>
    <font>
      <i/>
      <sz val="11"/>
      <color theme="1"/>
      <name val="Calibri"/>
      <charset val="1"/>
    </font>
    <font>
      <b/>
      <sz val="10"/>
      <name val="Calibri"/>
      <charset val="1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BC585"/>
        <bgColor rgb="FFF4CCCC"/>
      </patternFill>
    </fill>
    <fill>
      <patternFill patternType="solid">
        <fgColor rgb="FF434343"/>
        <bgColor rgb="FF375623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rgb="FFEFEFEF"/>
      </patternFill>
    </fill>
    <fill>
      <patternFill patternType="solid">
        <fgColor rgb="FFEFEFEF"/>
        <bgColor rgb="FFFFFFFF"/>
      </patternFill>
    </fill>
    <fill>
      <patternFill patternType="solid">
        <fgColor rgb="FF351C75"/>
        <bgColor rgb="FF073763"/>
      </patternFill>
    </fill>
    <fill>
      <patternFill patternType="solid">
        <fgColor rgb="FF6AA84F"/>
        <bgColor rgb="FF969696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0" fillId="2" borderId="0" xfId="0" applyFill="1" applyAlignment="1"/>
    <xf numFmtId="0" fontId="7" fillId="2" borderId="0" xfId="0" applyFont="1" applyFill="1" applyAlignment="1"/>
    <xf numFmtId="0" fontId="8" fillId="3" borderId="1" xfId="0" applyFont="1" applyFill="1" applyBorder="1" applyAlignment="1">
      <alignment wrapText="1"/>
    </xf>
    <xf numFmtId="0" fontId="0" fillId="3" borderId="2" xfId="0" applyFill="1" applyBorder="1" applyAlignment="1"/>
    <xf numFmtId="0" fontId="0" fillId="3" borderId="3" xfId="0" applyFill="1" applyBorder="1" applyAlignment="1"/>
    <xf numFmtId="0" fontId="0" fillId="4" borderId="0" xfId="0" applyFill="1" applyAlignment="1"/>
    <xf numFmtId="0" fontId="9" fillId="3" borderId="4" xfId="0" applyFont="1" applyFill="1" applyBorder="1" applyAlignment="1"/>
    <xf numFmtId="0" fontId="9" fillId="3" borderId="0" xfId="0" applyFont="1" applyFill="1" applyAlignment="1">
      <alignment horizontal="center"/>
    </xf>
    <xf numFmtId="0" fontId="0" fillId="3" borderId="5" xfId="0" applyFill="1" applyBorder="1" applyAlignment="1"/>
    <xf numFmtId="0" fontId="10" fillId="5" borderId="6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1" fillId="6" borderId="4" xfId="0" applyFont="1" applyFill="1" applyBorder="1" applyAlignment="1"/>
    <xf numFmtId="164" fontId="12" fillId="6" borderId="0" xfId="0" applyNumberFormat="1" applyFont="1" applyFill="1" applyAlignment="1">
      <alignment horizontal="right"/>
    </xf>
    <xf numFmtId="164" fontId="12" fillId="6" borderId="5" xfId="0" applyNumberFormat="1" applyFont="1" applyFill="1" applyBorder="1" applyAlignment="1">
      <alignment horizontal="right"/>
    </xf>
    <xf numFmtId="0" fontId="13" fillId="6" borderId="4" xfId="0" applyFont="1" applyFill="1" applyBorder="1" applyAlignment="1"/>
    <xf numFmtId="0" fontId="14" fillId="6" borderId="0" xfId="0" applyFont="1" applyFill="1" applyAlignment="1">
      <alignment horizontal="right"/>
    </xf>
    <xf numFmtId="0" fontId="14" fillId="6" borderId="5" xfId="0" applyFont="1" applyFill="1" applyBorder="1" applyAlignment="1">
      <alignment horizontal="right"/>
    </xf>
    <xf numFmtId="0" fontId="13" fillId="7" borderId="4" xfId="0" applyFont="1" applyFill="1" applyBorder="1" applyAlignment="1"/>
    <xf numFmtId="164" fontId="15" fillId="7" borderId="0" xfId="0" applyNumberFormat="1" applyFont="1" applyFill="1" applyAlignment="1">
      <alignment horizontal="right"/>
    </xf>
    <xf numFmtId="164" fontId="15" fillId="7" borderId="5" xfId="0" applyNumberFormat="1" applyFont="1" applyFill="1" applyBorder="1" applyAlignment="1">
      <alignment horizontal="right"/>
    </xf>
    <xf numFmtId="0" fontId="0" fillId="6" borderId="4" xfId="0" applyFill="1" applyBorder="1" applyAlignment="1"/>
    <xf numFmtId="0" fontId="0" fillId="6" borderId="0" xfId="0" applyFill="1" applyAlignment="1"/>
    <xf numFmtId="0" fontId="13" fillId="6" borderId="0" xfId="0" applyFont="1" applyFill="1" applyAlignment="1">
      <alignment horizontal="left" vertical="center"/>
    </xf>
    <xf numFmtId="0" fontId="0" fillId="6" borderId="5" xfId="0" applyFill="1" applyBorder="1" applyAlignment="1"/>
    <xf numFmtId="0" fontId="10" fillId="8" borderId="4" xfId="0" applyFont="1" applyFill="1" applyBorder="1" applyAlignment="1">
      <alignment horizontal="center"/>
    </xf>
    <xf numFmtId="0" fontId="6" fillId="8" borderId="0" xfId="0" applyFont="1" applyFill="1" applyAlignment="1"/>
    <xf numFmtId="0" fontId="16" fillId="8" borderId="0" xfId="0" applyFont="1" applyFill="1" applyAlignment="1">
      <alignment horizontal="left" vertical="center"/>
    </xf>
    <xf numFmtId="0" fontId="6" fillId="8" borderId="5" xfId="0" applyFont="1" applyFill="1" applyBorder="1" applyAlignment="1"/>
    <xf numFmtId="0" fontId="13" fillId="6" borderId="4" xfId="0" applyFont="1" applyFill="1" applyBorder="1" applyAlignment="1">
      <alignment vertical="center"/>
    </xf>
    <xf numFmtId="0" fontId="11" fillId="6" borderId="0" xfId="0" applyFont="1" applyFill="1" applyAlignment="1">
      <alignment horizontal="left" vertical="center"/>
    </xf>
    <xf numFmtId="0" fontId="8" fillId="6" borderId="0" xfId="0" applyFont="1" applyFill="1" applyAlignment="1">
      <alignment wrapText="1"/>
    </xf>
    <xf numFmtId="164" fontId="17" fillId="6" borderId="0" xfId="0" applyNumberFormat="1" applyFont="1" applyFill="1" applyAlignment="1">
      <alignment horizontal="right"/>
    </xf>
    <xf numFmtId="164" fontId="17" fillId="6" borderId="5" xfId="0" applyNumberFormat="1" applyFont="1" applyFill="1" applyBorder="1" applyAlignment="1">
      <alignment horizontal="right"/>
    </xf>
    <xf numFmtId="0" fontId="9" fillId="3" borderId="5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64" fontId="17" fillId="6" borderId="0" xfId="0" applyNumberFormat="1" applyFont="1" applyFill="1" applyAlignment="1"/>
    <xf numFmtId="164" fontId="17" fillId="6" borderId="5" xfId="0" applyNumberFormat="1" applyFont="1" applyFill="1" applyBorder="1" applyAlignment="1"/>
    <xf numFmtId="0" fontId="0" fillId="6" borderId="4" xfId="0" applyFont="1" applyFill="1" applyBorder="1" applyAlignment="1">
      <alignment horizontal="left"/>
    </xf>
    <xf numFmtId="0" fontId="13" fillId="6" borderId="0" xfId="0" applyFont="1" applyFill="1" applyAlignment="1">
      <alignment vertical="center"/>
    </xf>
    <xf numFmtId="0" fontId="11" fillId="6" borderId="0" xfId="0" applyFont="1" applyFill="1" applyAlignment="1"/>
    <xf numFmtId="0" fontId="11" fillId="6" borderId="4" xfId="0" applyFont="1" applyFill="1" applyBorder="1" applyAlignment="1">
      <alignment vertical="center"/>
    </xf>
    <xf numFmtId="0" fontId="0" fillId="6" borderId="4" xfId="0" applyFont="1" applyFill="1" applyBorder="1" applyAlignment="1">
      <alignment vertical="center"/>
    </xf>
    <xf numFmtId="0" fontId="11" fillId="6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/>
    <xf numFmtId="0" fontId="0" fillId="6" borderId="4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164" fontId="18" fillId="7" borderId="0" xfId="0" applyNumberFormat="1" applyFont="1" applyFill="1" applyAlignment="1"/>
    <xf numFmtId="164" fontId="18" fillId="7" borderId="5" xfId="0" applyNumberFormat="1" applyFont="1" applyFill="1" applyBorder="1" applyAlignment="1"/>
    <xf numFmtId="0" fontId="13" fillId="3" borderId="5" xfId="0" applyFont="1" applyFill="1" applyBorder="1" applyAlignment="1"/>
    <xf numFmtId="0" fontId="9" fillId="6" borderId="4" xfId="0" applyFont="1" applyFill="1" applyBorder="1" applyAlignment="1">
      <alignment vertical="center"/>
    </xf>
    <xf numFmtId="0" fontId="10" fillId="8" borderId="4" xfId="0" applyFont="1" applyFill="1" applyBorder="1" applyAlignment="1">
      <alignment horizontal="center" vertical="center"/>
    </xf>
    <xf numFmtId="0" fontId="16" fillId="8" borderId="0" xfId="0" applyFont="1" applyFill="1" applyAlignment="1"/>
    <xf numFmtId="0" fontId="13" fillId="6" borderId="0" xfId="0" applyFont="1" applyFill="1" applyAlignment="1"/>
    <xf numFmtId="0" fontId="1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/>
    </xf>
    <xf numFmtId="0" fontId="10" fillId="9" borderId="8" xfId="0" applyFont="1" applyFill="1" applyBorder="1" applyAlignment="1">
      <alignment horizontal="center"/>
    </xf>
    <xf numFmtId="164" fontId="19" fillId="6" borderId="0" xfId="0" applyNumberFormat="1" applyFont="1" applyFill="1" applyAlignment="1"/>
    <xf numFmtId="164" fontId="19" fillId="6" borderId="5" xfId="0" applyNumberFormat="1" applyFont="1" applyFill="1" applyBorder="1" applyAlignment="1"/>
    <xf numFmtId="164" fontId="18" fillId="6" borderId="0" xfId="0" applyNumberFormat="1" applyFont="1" applyFill="1" applyAlignment="1"/>
    <xf numFmtId="164" fontId="18" fillId="6" borderId="5" xfId="0" applyNumberFormat="1" applyFont="1" applyFill="1" applyBorder="1" applyAlignment="1"/>
    <xf numFmtId="0" fontId="0" fillId="7" borderId="4" xfId="0" applyFont="1" applyFill="1" applyBorder="1" applyAlignment="1">
      <alignment horizontal="left" vertical="center"/>
    </xf>
    <xf numFmtId="164" fontId="9" fillId="7" borderId="0" xfId="0" applyNumberFormat="1" applyFont="1" applyFill="1" applyAlignment="1"/>
    <xf numFmtId="164" fontId="9" fillId="7" borderId="5" xfId="0" applyNumberFormat="1" applyFont="1" applyFill="1" applyBorder="1" applyAlignment="1"/>
    <xf numFmtId="0" fontId="9" fillId="6" borderId="0" xfId="0" applyFont="1" applyFill="1" applyAlignment="1"/>
    <xf numFmtId="0" fontId="9" fillId="6" borderId="5" xfId="0" applyFont="1" applyFill="1" applyBorder="1" applyAlignment="1"/>
    <xf numFmtId="0" fontId="1" fillId="9" borderId="6" xfId="0" applyFont="1" applyFill="1" applyBorder="1" applyAlignment="1">
      <alignment horizontal="center"/>
    </xf>
    <xf numFmtId="0" fontId="0" fillId="9" borderId="7" xfId="0" applyFill="1" applyBorder="1" applyAlignment="1"/>
    <xf numFmtId="0" fontId="6" fillId="9" borderId="7" xfId="0" applyFont="1" applyFill="1" applyBorder="1" applyAlignment="1"/>
    <xf numFmtId="0" fontId="16" fillId="9" borderId="7" xfId="0" applyFont="1" applyFill="1" applyBorder="1" applyAlignment="1"/>
    <xf numFmtId="0" fontId="6" fillId="9" borderId="8" xfId="0" applyFont="1" applyFill="1" applyBorder="1" applyAlignment="1"/>
    <xf numFmtId="0" fontId="0" fillId="0" borderId="4" xfId="0" applyBorder="1" applyAlignment="1"/>
    <xf numFmtId="164" fontId="12" fillId="6" borderId="0" xfId="0" applyNumberFormat="1" applyFont="1" applyFill="1" applyAlignment="1"/>
    <xf numFmtId="0" fontId="20" fillId="6" borderId="0" xfId="0" applyFont="1" applyFill="1" applyAlignment="1">
      <alignment horizontal="right"/>
    </xf>
    <xf numFmtId="3" fontId="9" fillId="6" borderId="0" xfId="0" applyNumberFormat="1" applyFont="1" applyFill="1" applyAlignment="1"/>
    <xf numFmtId="0" fontId="21" fillId="6" borderId="0" xfId="0" applyFont="1" applyFill="1" applyAlignment="1">
      <alignment horizontal="right"/>
    </xf>
    <xf numFmtId="0" fontId="22" fillId="6" borderId="0" xfId="0" applyFont="1" applyFill="1" applyAlignment="1">
      <alignment horizontal="right"/>
    </xf>
    <xf numFmtId="0" fontId="9" fillId="7" borderId="4" xfId="0" applyFont="1" applyFill="1" applyBorder="1" applyAlignment="1">
      <alignment horizontal="center"/>
    </xf>
    <xf numFmtId="164" fontId="9" fillId="7" borderId="0" xfId="0" applyNumberFormat="1" applyFont="1" applyFill="1" applyAlignment="1">
      <alignment horizontal="center"/>
    </xf>
    <xf numFmtId="0" fontId="13" fillId="6" borderId="0" xfId="0" applyFont="1" applyFill="1" applyAlignment="1">
      <alignment horizontal="right"/>
    </xf>
    <xf numFmtId="0" fontId="0" fillId="6" borderId="4" xfId="0" applyFont="1" applyFill="1" applyBorder="1" applyAlignment="1"/>
    <xf numFmtId="165" fontId="9" fillId="6" borderId="0" xfId="0" applyNumberFormat="1" applyFont="1" applyFill="1" applyAlignment="1"/>
    <xf numFmtId="0" fontId="23" fillId="6" borderId="0" xfId="0" applyFont="1" applyFill="1" applyAlignment="1"/>
    <xf numFmtId="0" fontId="21" fillId="6" borderId="0" xfId="0" applyFont="1" applyFill="1" applyAlignment="1">
      <alignment horizontal="left"/>
    </xf>
    <xf numFmtId="0" fontId="23" fillId="0" borderId="0" xfId="0" applyFont="1" applyAlignment="1"/>
    <xf numFmtId="164" fontId="0" fillId="6" borderId="0" xfId="0" applyNumberFormat="1" applyFill="1" applyAlignment="1"/>
    <xf numFmtId="9" fontId="0" fillId="6" borderId="0" xfId="0" applyNumberFormat="1" applyFill="1" applyAlignment="1"/>
    <xf numFmtId="0" fontId="24" fillId="0" borderId="0" xfId="0" applyFont="1" applyAlignment="1"/>
    <xf numFmtId="164" fontId="24" fillId="0" borderId="0" xfId="0" applyNumberFormat="1" applyFont="1" applyAlignment="1"/>
    <xf numFmtId="0" fontId="0" fillId="6" borderId="9" xfId="0" applyFill="1" applyBorder="1" applyAlignment="1"/>
    <xf numFmtId="0" fontId="0" fillId="3" borderId="10" xfId="0" applyFill="1" applyBorder="1" applyAlignment="1"/>
    <xf numFmtId="0" fontId="0" fillId="3" borderId="11" xfId="0" applyFill="1" applyBorder="1" applyAlignment="1"/>
    <xf numFmtId="0" fontId="0" fillId="3" borderId="9" xfId="0" applyFill="1" applyBorder="1" applyAlignment="1"/>
    <xf numFmtId="0" fontId="0" fillId="3" borderId="0" xfId="0" applyFill="1" applyAlignment="1"/>
  </cellXfs>
  <cellStyles count="1">
    <cellStyle name="Normal" xfId="0" builtinId="0"/>
  </cellStyles>
  <dxfs count="2">
    <dxf>
      <font>
        <b/>
        <color rgb="FF990000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C6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DBC585"/>
      <rgbColor rgb="FF808080"/>
      <rgbColor rgb="FF9999FF"/>
      <rgbColor rgb="FF993366"/>
      <rgbColor rgb="FFEFEFEF"/>
      <rgbColor rgb="FFCCFFFF"/>
      <rgbColor rgb="FF351C75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73763"/>
      <rgbColor rgb="FF6AA84F"/>
      <rgbColor rgb="FF003300"/>
      <rgbColor rgb="FF375623"/>
      <rgbColor rgb="FF993300"/>
      <rgbColor rgb="FF993366"/>
      <rgbColor rgb="FF1C4587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Sua Jornada da Paz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AA8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8D6-40BB-A8CE-425BEE73EC57}"/>
              </c:ext>
            </c:extLst>
          </c:dPt>
          <c:dPt>
            <c:idx val="1"/>
            <c:bubble3D val="0"/>
            <c:spPr>
              <a:solidFill>
                <a:srgbClr val="D9D9D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8D6-40BB-A8CE-425BEE73EC5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D6-40BB-A8CE-425BEE73EC5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D6-40BB-A8CE-425BEE73EC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'Cálculo do Seu Número da Paz'!$A$81:$A$82</c:f>
              <c:strCache>
                <c:ptCount val="2"/>
                <c:pt idx="0">
                  <c:v>  Já conquistado</c:v>
                </c:pt>
                <c:pt idx="1">
                  <c:v>  Falta para a meta</c:v>
                </c:pt>
              </c:strCache>
            </c:strRef>
          </c:cat>
          <c:val>
            <c:numRef>
              <c:f>'Cálculo do Seu Número da Paz'!$B$81:$B$82</c:f>
              <c:numCache>
                <c:formatCode>"R$ "#,##0;"(R$ "#,##0\);\-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D6-40BB-A8CE-425BEE73E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6</xdr:col>
      <xdr:colOff>82800</xdr:colOff>
      <xdr:row>98</xdr:row>
      <xdr:rowOff>42120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S64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55CC"/>
  </sheetPr>
  <dimension ref="A1:AA1007"/>
  <sheetViews>
    <sheetView showGridLines="0" tabSelected="1" topLeftCell="A13" zoomScaleNormal="100" workbookViewId="0">
      <selection activeCell="M30" sqref="M30"/>
    </sheetView>
  </sheetViews>
  <sheetFormatPr defaultColWidth="14.42578125" defaultRowHeight="15" x14ac:dyDescent="0.25"/>
  <cols>
    <col min="1" max="1" width="3.28515625" style="1" customWidth="1"/>
    <col min="2" max="2" width="50.28515625" style="1" customWidth="1"/>
    <col min="3" max="7" width="8.85546875" style="1" customWidth="1"/>
    <col min="8" max="27" width="8.7109375" style="1" customWidth="1"/>
  </cols>
  <sheetData>
    <row r="1" spans="1:27" ht="55.5" customHeight="1" x14ac:dyDescent="0.25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25">
      <c r="A2" s="4"/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.75" customHeight="1" x14ac:dyDescent="0.25">
      <c r="A3" s="4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.75" customHeight="1" x14ac:dyDescent="0.25">
      <c r="A4" s="4"/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.75" customHeight="1" x14ac:dyDescent="0.25">
      <c r="A5" s="4"/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.7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customHeight="1" x14ac:dyDescent="0.25">
      <c r="A7" s="4"/>
      <c r="B7" s="3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5">
      <c r="A8" s="2"/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5">
      <c r="A9" s="4"/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5">
      <c r="A10" s="4"/>
      <c r="B10" s="4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5">
      <c r="A11" s="4"/>
      <c r="B11" s="4" t="s">
        <v>9</v>
      </c>
      <c r="C11" s="5"/>
      <c r="D11" s="5"/>
      <c r="E11" s="5"/>
      <c r="F11" s="5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5">
      <c r="A12" s="4"/>
      <c r="B12" s="4"/>
      <c r="C12" s="5"/>
      <c r="D12" s="5"/>
      <c r="E12" s="5"/>
      <c r="F12" s="5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5">
      <c r="A13" s="4"/>
      <c r="B13" s="3" t="s">
        <v>10</v>
      </c>
      <c r="C13" s="5"/>
      <c r="D13" s="5"/>
      <c r="E13" s="5"/>
      <c r="F13" s="5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5">
      <c r="A14" s="4"/>
      <c r="B14" s="4" t="s">
        <v>11</v>
      </c>
      <c r="C14" s="4"/>
      <c r="D14" s="4"/>
      <c r="E14" s="4"/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5">
      <c r="A15" s="2"/>
      <c r="B15" s="4" t="s">
        <v>12</v>
      </c>
      <c r="C15" s="5"/>
      <c r="D15" s="5"/>
      <c r="E15" s="5"/>
      <c r="F15" s="5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5">
      <c r="A16" s="4"/>
      <c r="B16" s="4" t="s">
        <v>13</v>
      </c>
      <c r="C16" s="5"/>
      <c r="D16" s="5"/>
      <c r="E16" s="5"/>
      <c r="F16" s="5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5">
      <c r="A17" s="4"/>
      <c r="B17" s="4" t="s">
        <v>14</v>
      </c>
      <c r="C17" s="5"/>
      <c r="D17" s="5"/>
      <c r="E17" s="5"/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5">
      <c r="A18" s="4"/>
      <c r="B18" s="4" t="s">
        <v>15</v>
      </c>
      <c r="C18" s="5"/>
      <c r="D18" s="5"/>
      <c r="E18" s="5"/>
      <c r="F18" s="5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4"/>
      <c r="B19" s="4" t="s">
        <v>16</v>
      </c>
      <c r="C19" s="5"/>
      <c r="D19" s="5"/>
      <c r="E19" s="5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4"/>
      <c r="B20" s="4"/>
      <c r="C20" s="5"/>
      <c r="D20" s="5"/>
      <c r="E20" s="5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4"/>
      <c r="B21" s="3" t="s">
        <v>17</v>
      </c>
      <c r="C21" s="5"/>
      <c r="D21" s="5"/>
      <c r="E21" s="5"/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4"/>
      <c r="B22" s="4" t="s">
        <v>18</v>
      </c>
      <c r="C22" s="5"/>
      <c r="D22" s="5"/>
      <c r="E22" s="5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2"/>
      <c r="B23" s="4" t="s">
        <v>19</v>
      </c>
      <c r="C23" s="5"/>
      <c r="D23" s="5"/>
      <c r="E23" s="5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2"/>
      <c r="B24" s="4" t="s">
        <v>20</v>
      </c>
      <c r="C24" s="5"/>
      <c r="D24" s="5"/>
      <c r="E24" s="5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2"/>
      <c r="B25" s="4" t="s">
        <v>21</v>
      </c>
      <c r="C25" s="5"/>
      <c r="D25" s="5"/>
      <c r="E25" s="5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4"/>
      <c r="B26" s="4"/>
      <c r="C26" s="5"/>
      <c r="D26" s="5"/>
      <c r="E26" s="5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s="4"/>
      <c r="B27" s="3" t="s">
        <v>22</v>
      </c>
      <c r="C27" s="5"/>
      <c r="D27" s="5"/>
      <c r="E27" s="5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4"/>
      <c r="B28" s="4" t="s">
        <v>23</v>
      </c>
      <c r="C28" s="5"/>
      <c r="D28" s="5"/>
      <c r="E28" s="5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 t="s">
        <v>24</v>
      </c>
      <c r="C29" s="5"/>
      <c r="D29" s="5"/>
      <c r="E29" s="5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2"/>
      <c r="B30" s="4" t="s">
        <v>25</v>
      </c>
      <c r="C30" s="5"/>
      <c r="D30" s="5"/>
      <c r="E30" s="5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2"/>
      <c r="B31" s="4"/>
      <c r="C31" s="5"/>
      <c r="D31" s="5"/>
      <c r="E31" s="5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4"/>
      <c r="B32" s="3" t="s">
        <v>26</v>
      </c>
      <c r="C32" s="5"/>
      <c r="D32" s="5"/>
      <c r="E32" s="5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4"/>
      <c r="B33" s="4" t="s">
        <v>27</v>
      </c>
      <c r="C33" s="5"/>
      <c r="D33" s="5"/>
      <c r="E33" s="5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4"/>
      <c r="B34" s="4" t="s">
        <v>28</v>
      </c>
      <c r="C34" s="5"/>
      <c r="D34" s="5"/>
      <c r="E34" s="5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4"/>
      <c r="B35" s="4"/>
      <c r="C35" s="5"/>
      <c r="D35" s="5"/>
      <c r="E35" s="5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4"/>
      <c r="B36" s="4"/>
      <c r="C36" s="5"/>
      <c r="D36" s="5"/>
      <c r="E36" s="5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4"/>
      <c r="B37" s="6" t="s">
        <v>29</v>
      </c>
      <c r="C37" s="5"/>
      <c r="D37" s="5"/>
      <c r="E37" s="5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4"/>
      <c r="B38" s="4" t="s">
        <v>30</v>
      </c>
      <c r="C38" s="5"/>
      <c r="D38" s="5"/>
      <c r="E38" s="5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4"/>
      <c r="B39" s="4" t="s">
        <v>31</v>
      </c>
      <c r="C39" s="5"/>
      <c r="D39" s="5"/>
      <c r="E39" s="5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4"/>
      <c r="B40" s="4" t="s">
        <v>32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7"/>
      <c r="B41" s="7" t="s">
        <v>33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7"/>
      <c r="B42" s="8"/>
      <c r="C42" s="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9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</sheetData>
  <autoFilter ref="A1" xr:uid="{00000000-0009-0000-0000-000000000000}"/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Z98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W14" sqref="W14"/>
    </sheetView>
  </sheetViews>
  <sheetFormatPr defaultColWidth="14.42578125" defaultRowHeight="15" x14ac:dyDescent="0.25"/>
  <cols>
    <col min="1" max="1" width="32" style="1" customWidth="1"/>
    <col min="2" max="13" width="11" style="1" customWidth="1"/>
    <col min="14" max="14" width="1.85546875" style="1" customWidth="1"/>
    <col min="15" max="26" width="8.7109375" style="1" customWidth="1"/>
  </cols>
  <sheetData>
    <row r="1" spans="1:26" ht="49.5" customHeight="1" x14ac:dyDescent="0.35">
      <c r="A1" s="10" t="s">
        <v>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25" customHeight="1" x14ac:dyDescent="0.25">
      <c r="A3" s="17" t="s">
        <v>35</v>
      </c>
      <c r="B3" s="18" t="s">
        <v>36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41</v>
      </c>
      <c r="H3" s="18" t="s">
        <v>42</v>
      </c>
      <c r="I3" s="18" t="s">
        <v>43</v>
      </c>
      <c r="J3" s="18" t="s">
        <v>44</v>
      </c>
      <c r="K3" s="18" t="s">
        <v>45</v>
      </c>
      <c r="L3" s="18" t="s">
        <v>46</v>
      </c>
      <c r="M3" s="19" t="s">
        <v>47</v>
      </c>
      <c r="N3" s="16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 x14ac:dyDescent="0.25">
      <c r="A4" s="20" t="s">
        <v>48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  <c r="N4" s="16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25">
      <c r="A5" s="20" t="s">
        <v>49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16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25">
      <c r="A6" s="20" t="s">
        <v>50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2"/>
      <c r="N6" s="16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8.25" customHeight="1" x14ac:dyDescent="0.25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5"/>
      <c r="N7" s="1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25">
      <c r="A8" s="26" t="s">
        <v>51</v>
      </c>
      <c r="B8" s="27">
        <f t="shared" ref="B8:M8" si="0">SUM(B4:B6)</f>
        <v>0</v>
      </c>
      <c r="C8" s="27">
        <f t="shared" si="0"/>
        <v>0</v>
      </c>
      <c r="D8" s="27">
        <f t="shared" si="0"/>
        <v>0</v>
      </c>
      <c r="E8" s="27">
        <f t="shared" si="0"/>
        <v>0</v>
      </c>
      <c r="F8" s="27">
        <f t="shared" si="0"/>
        <v>0</v>
      </c>
      <c r="G8" s="27">
        <f t="shared" si="0"/>
        <v>0</v>
      </c>
      <c r="H8" s="27">
        <f t="shared" si="0"/>
        <v>0</v>
      </c>
      <c r="I8" s="27">
        <f t="shared" si="0"/>
        <v>0</v>
      </c>
      <c r="J8" s="27">
        <f t="shared" si="0"/>
        <v>0</v>
      </c>
      <c r="K8" s="27">
        <f t="shared" si="0"/>
        <v>0</v>
      </c>
      <c r="L8" s="27">
        <f t="shared" si="0"/>
        <v>0</v>
      </c>
      <c r="M8" s="28">
        <f t="shared" si="0"/>
        <v>0</v>
      </c>
      <c r="N8" s="1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customHeight="1" x14ac:dyDescent="0.25">
      <c r="A9" s="29"/>
      <c r="B9" s="30"/>
      <c r="C9" s="30"/>
      <c r="D9" s="30"/>
      <c r="E9" s="30"/>
      <c r="F9" s="31"/>
      <c r="G9" s="30"/>
      <c r="H9" s="30"/>
      <c r="I9" s="30"/>
      <c r="J9" s="30"/>
      <c r="K9" s="30"/>
      <c r="L9" s="30"/>
      <c r="M9" s="32"/>
      <c r="N9" s="1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25">
      <c r="A10" s="33" t="s">
        <v>52</v>
      </c>
      <c r="B10" s="34"/>
      <c r="C10" s="34"/>
      <c r="D10" s="34"/>
      <c r="E10" s="34"/>
      <c r="F10" s="35"/>
      <c r="G10" s="34"/>
      <c r="H10" s="34"/>
      <c r="I10" s="34"/>
      <c r="J10" s="34"/>
      <c r="K10" s="34"/>
      <c r="L10" s="34"/>
      <c r="M10" s="36"/>
      <c r="N10" s="1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 x14ac:dyDescent="0.35">
      <c r="A11" s="37" t="s">
        <v>53</v>
      </c>
      <c r="B11" s="30"/>
      <c r="C11" s="30"/>
      <c r="D11" s="30"/>
      <c r="E11" s="30"/>
      <c r="F11" s="38"/>
      <c r="G11" s="39"/>
      <c r="H11" s="30"/>
      <c r="I11" s="30"/>
      <c r="J11" s="30"/>
      <c r="K11" s="30"/>
      <c r="L11" s="30"/>
      <c r="M11" s="32"/>
      <c r="N11" s="1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25">
      <c r="A12" s="20" t="s">
        <v>54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N12" s="42"/>
      <c r="O12" s="43"/>
      <c r="P12" s="43"/>
      <c r="Q12" s="43"/>
      <c r="R12" s="43"/>
      <c r="S12" s="43"/>
      <c r="T12" s="13"/>
      <c r="U12" s="13"/>
      <c r="V12" s="13"/>
      <c r="W12" s="13"/>
      <c r="X12" s="13"/>
      <c r="Y12" s="13"/>
      <c r="Z12" s="13"/>
    </row>
    <row r="13" spans="1:26" ht="14.25" customHeight="1" x14ac:dyDescent="0.25">
      <c r="A13" s="29" t="s">
        <v>55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5"/>
      <c r="N13" s="16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25">
      <c r="A14" s="29" t="s">
        <v>56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5"/>
      <c r="N14" s="1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 x14ac:dyDescent="0.25">
      <c r="A15" s="29" t="s">
        <v>57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5"/>
      <c r="N15" s="16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25">
      <c r="A16" s="46" t="s">
        <v>58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5"/>
      <c r="N16" s="16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 x14ac:dyDescent="0.25">
      <c r="A17" s="29"/>
      <c r="B17" s="30"/>
      <c r="C17" s="30"/>
      <c r="D17" s="30"/>
      <c r="E17" s="30"/>
      <c r="F17" s="47"/>
      <c r="G17" s="30"/>
      <c r="H17" s="30"/>
      <c r="I17" s="30"/>
      <c r="J17" s="30"/>
      <c r="K17" s="30"/>
      <c r="L17" s="30"/>
      <c r="M17" s="32"/>
      <c r="N17" s="16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25">
      <c r="A18" s="37" t="s">
        <v>59</v>
      </c>
      <c r="B18" s="30"/>
      <c r="C18" s="30"/>
      <c r="D18" s="30"/>
      <c r="E18" s="30"/>
      <c r="F18" s="48"/>
      <c r="G18" s="30"/>
      <c r="H18" s="30"/>
      <c r="I18" s="30"/>
      <c r="J18" s="30"/>
      <c r="K18" s="30"/>
      <c r="L18" s="30"/>
      <c r="M18" s="32"/>
      <c r="N18" s="16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 x14ac:dyDescent="0.25">
      <c r="A19" s="49" t="s">
        <v>60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5"/>
      <c r="N19" s="16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25">
      <c r="A20" s="50" t="s">
        <v>61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5"/>
      <c r="N20" s="16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25">
      <c r="A21" s="50" t="s">
        <v>62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5"/>
      <c r="N21" s="16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25">
      <c r="A22" s="29"/>
      <c r="B22" s="30"/>
      <c r="C22" s="30"/>
      <c r="D22" s="30"/>
      <c r="E22" s="30"/>
      <c r="F22" s="38"/>
      <c r="G22" s="30"/>
      <c r="H22" s="30"/>
      <c r="I22" s="30"/>
      <c r="J22" s="30"/>
      <c r="K22" s="30"/>
      <c r="L22" s="30"/>
      <c r="M22" s="32"/>
      <c r="N22" s="16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 x14ac:dyDescent="0.25">
      <c r="A23" s="37" t="s">
        <v>63</v>
      </c>
      <c r="B23" s="30"/>
      <c r="C23" s="30"/>
      <c r="D23" s="30"/>
      <c r="E23" s="30"/>
      <c r="F23" s="31"/>
      <c r="G23" s="30"/>
      <c r="H23" s="30"/>
      <c r="I23" s="30"/>
      <c r="J23" s="30"/>
      <c r="K23" s="30"/>
      <c r="L23" s="30"/>
      <c r="M23" s="32"/>
      <c r="N23" s="16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 x14ac:dyDescent="0.25">
      <c r="A24" s="51" t="s">
        <v>64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5"/>
      <c r="N24" s="16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 x14ac:dyDescent="0.25">
      <c r="A25" s="51" t="s">
        <v>65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  <c r="N25" s="16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 x14ac:dyDescent="0.25">
      <c r="A26" s="51" t="s">
        <v>66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5"/>
      <c r="N26" s="16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 x14ac:dyDescent="0.25">
      <c r="A27" s="29"/>
      <c r="B27" s="30"/>
      <c r="C27" s="30"/>
      <c r="D27" s="30"/>
      <c r="E27" s="30"/>
      <c r="F27" s="47"/>
      <c r="G27" s="30"/>
      <c r="H27" s="30"/>
      <c r="I27" s="30"/>
      <c r="J27" s="30"/>
      <c r="K27" s="30"/>
      <c r="L27" s="30"/>
      <c r="M27" s="32"/>
      <c r="N27" s="16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 x14ac:dyDescent="0.25">
      <c r="A28" s="52" t="s">
        <v>67</v>
      </c>
      <c r="B28" s="30"/>
      <c r="C28" s="30"/>
      <c r="D28" s="30"/>
      <c r="E28" s="30"/>
      <c r="F28" s="48"/>
      <c r="G28" s="30"/>
      <c r="H28" s="30"/>
      <c r="I28" s="30"/>
      <c r="J28" s="30"/>
      <c r="K28" s="30"/>
      <c r="L28" s="30"/>
      <c r="M28" s="32"/>
      <c r="N28" s="16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 x14ac:dyDescent="0.25">
      <c r="A29" s="53" t="s">
        <v>68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5"/>
      <c r="N29" s="16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 x14ac:dyDescent="0.25">
      <c r="A30" s="53" t="s">
        <v>69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5"/>
      <c r="N30" s="16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 x14ac:dyDescent="0.25">
      <c r="A31" s="53" t="s">
        <v>70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5"/>
      <c r="N31" s="16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 x14ac:dyDescent="0.25">
      <c r="A32" s="53" t="s">
        <v>71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5"/>
      <c r="N32" s="16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 x14ac:dyDescent="0.25">
      <c r="A33" s="53" t="s">
        <v>72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5"/>
      <c r="N33" s="16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7.5" customHeight="1" x14ac:dyDescent="0.25">
      <c r="A34" s="54"/>
      <c r="B34" s="30"/>
      <c r="C34" s="30"/>
      <c r="D34" s="30"/>
      <c r="E34" s="30"/>
      <c r="F34" s="48"/>
      <c r="G34" s="30"/>
      <c r="H34" s="30"/>
      <c r="I34" s="30"/>
      <c r="J34" s="30"/>
      <c r="K34" s="30"/>
      <c r="L34" s="30"/>
      <c r="M34" s="32"/>
      <c r="N34" s="16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25" customHeight="1" x14ac:dyDescent="0.25">
      <c r="A35" s="55" t="s">
        <v>73</v>
      </c>
      <c r="B35" s="56">
        <f t="shared" ref="B35:M35" si="1">SUM(B12:B33)</f>
        <v>0</v>
      </c>
      <c r="C35" s="56">
        <f t="shared" si="1"/>
        <v>0</v>
      </c>
      <c r="D35" s="56">
        <f t="shared" si="1"/>
        <v>0</v>
      </c>
      <c r="E35" s="56">
        <f t="shared" si="1"/>
        <v>0</v>
      </c>
      <c r="F35" s="56">
        <f t="shared" si="1"/>
        <v>0</v>
      </c>
      <c r="G35" s="56">
        <f t="shared" si="1"/>
        <v>0</v>
      </c>
      <c r="H35" s="56">
        <f t="shared" si="1"/>
        <v>0</v>
      </c>
      <c r="I35" s="56">
        <f t="shared" si="1"/>
        <v>0</v>
      </c>
      <c r="J35" s="56">
        <f t="shared" si="1"/>
        <v>0</v>
      </c>
      <c r="K35" s="56">
        <f t="shared" si="1"/>
        <v>0</v>
      </c>
      <c r="L35" s="56">
        <f t="shared" si="1"/>
        <v>0</v>
      </c>
      <c r="M35" s="57">
        <f t="shared" si="1"/>
        <v>0</v>
      </c>
      <c r="N35" s="58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 x14ac:dyDescent="0.25">
      <c r="A36" s="59"/>
      <c r="B36" s="30"/>
      <c r="D36" s="30"/>
      <c r="E36" s="30"/>
      <c r="F36" s="48"/>
      <c r="G36" s="30"/>
      <c r="H36" s="30"/>
      <c r="I36" s="30"/>
      <c r="J36" s="30"/>
      <c r="K36" s="30"/>
      <c r="L36" s="30"/>
      <c r="M36" s="32"/>
      <c r="N36" s="16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 x14ac:dyDescent="0.25">
      <c r="A37" s="60" t="s">
        <v>74</v>
      </c>
      <c r="B37" s="61"/>
      <c r="C37" s="34"/>
      <c r="D37" s="34"/>
      <c r="E37" s="34"/>
      <c r="F37" s="61"/>
      <c r="G37" s="34"/>
      <c r="H37" s="34"/>
      <c r="I37" s="34"/>
      <c r="J37" s="34"/>
      <c r="K37" s="34"/>
      <c r="L37" s="34"/>
      <c r="M37" s="36"/>
      <c r="N37" s="16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 x14ac:dyDescent="0.25">
      <c r="A38" s="52" t="s">
        <v>75</v>
      </c>
      <c r="B38" s="48"/>
      <c r="C38" s="30"/>
      <c r="D38" s="30"/>
      <c r="E38" s="30"/>
      <c r="F38" s="48"/>
      <c r="G38" s="30"/>
      <c r="H38" s="30"/>
      <c r="I38" s="30"/>
      <c r="J38" s="30"/>
      <c r="K38" s="30"/>
      <c r="L38" s="30"/>
      <c r="M38" s="32"/>
      <c r="N38" s="16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 x14ac:dyDescent="0.25">
      <c r="A39" s="53" t="s">
        <v>76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5"/>
      <c r="N39" s="16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 x14ac:dyDescent="0.25">
      <c r="A40" s="53" t="s">
        <v>77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5"/>
      <c r="N40" s="16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 x14ac:dyDescent="0.25">
      <c r="A41" s="53" t="s">
        <v>78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5"/>
      <c r="N41" s="16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 x14ac:dyDescent="0.2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2"/>
      <c r="N42" s="16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 x14ac:dyDescent="0.25">
      <c r="A43" s="52" t="s">
        <v>79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2"/>
      <c r="N43" s="16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 x14ac:dyDescent="0.25">
      <c r="A44" s="53" t="s">
        <v>80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5"/>
      <c r="N44" s="16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 x14ac:dyDescent="0.25">
      <c r="A45" s="53" t="s">
        <v>81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5"/>
      <c r="N45" s="16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 x14ac:dyDescent="0.25">
      <c r="A46" s="53" t="s">
        <v>82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5"/>
      <c r="N46" s="16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 x14ac:dyDescent="0.25">
      <c r="A47" s="29"/>
      <c r="B47" s="30"/>
      <c r="C47" s="30"/>
      <c r="D47" s="30"/>
      <c r="E47" s="30"/>
      <c r="F47" s="62"/>
      <c r="G47" s="30"/>
      <c r="H47" s="30"/>
      <c r="I47" s="30"/>
      <c r="J47" s="30"/>
      <c r="K47" s="30"/>
      <c r="L47" s="30"/>
      <c r="M47" s="32"/>
      <c r="N47" s="16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 x14ac:dyDescent="0.25">
      <c r="A48" s="52" t="s">
        <v>83</v>
      </c>
      <c r="B48" s="30"/>
      <c r="C48" s="30"/>
      <c r="D48" s="30"/>
      <c r="E48" s="30"/>
      <c r="F48" s="48"/>
      <c r="G48" s="30"/>
      <c r="H48" s="30"/>
      <c r="I48" s="30"/>
      <c r="J48" s="30"/>
      <c r="K48" s="30"/>
      <c r="L48" s="30"/>
      <c r="M48" s="32"/>
      <c r="N48" s="16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 x14ac:dyDescent="0.25">
      <c r="A49" s="53" t="s">
        <v>84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5"/>
      <c r="N49" s="16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 x14ac:dyDescent="0.25">
      <c r="A50" s="53" t="s">
        <v>85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5"/>
      <c r="N50" s="16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 x14ac:dyDescent="0.25">
      <c r="A51" s="2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2"/>
      <c r="N51" s="16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 x14ac:dyDescent="0.25">
      <c r="A52" s="52" t="s">
        <v>86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2"/>
      <c r="N52" s="16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 x14ac:dyDescent="0.25">
      <c r="A53" s="53" t="s">
        <v>87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5"/>
      <c r="N53" s="16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 x14ac:dyDescent="0.25">
      <c r="A54" s="53" t="s">
        <v>88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5"/>
      <c r="N54" s="16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 x14ac:dyDescent="0.25">
      <c r="A55" s="53" t="s">
        <v>89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5"/>
      <c r="N55" s="16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8.25" customHeight="1" x14ac:dyDescent="0.25">
      <c r="A56" s="53"/>
      <c r="B56" s="30"/>
      <c r="C56" s="30"/>
      <c r="D56" s="30"/>
      <c r="E56" s="30"/>
      <c r="F56" s="48"/>
      <c r="G56" s="30"/>
      <c r="H56" s="30"/>
      <c r="I56" s="30"/>
      <c r="J56" s="30"/>
      <c r="K56" s="30"/>
      <c r="L56" s="30"/>
      <c r="M56" s="32"/>
      <c r="N56" s="16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 x14ac:dyDescent="0.25">
      <c r="A57" s="55" t="s">
        <v>90</v>
      </c>
      <c r="B57" s="56">
        <f t="shared" ref="B57:M57" si="2">SUM(B39:B56)</f>
        <v>0</v>
      </c>
      <c r="C57" s="56">
        <f t="shared" si="2"/>
        <v>0</v>
      </c>
      <c r="D57" s="56">
        <f t="shared" si="2"/>
        <v>0</v>
      </c>
      <c r="E57" s="56">
        <f t="shared" si="2"/>
        <v>0</v>
      </c>
      <c r="F57" s="56">
        <f t="shared" si="2"/>
        <v>0</v>
      </c>
      <c r="G57" s="56">
        <f t="shared" si="2"/>
        <v>0</v>
      </c>
      <c r="H57" s="56">
        <f t="shared" si="2"/>
        <v>0</v>
      </c>
      <c r="I57" s="56">
        <f t="shared" si="2"/>
        <v>0</v>
      </c>
      <c r="J57" s="56">
        <f t="shared" si="2"/>
        <v>0</v>
      </c>
      <c r="K57" s="56">
        <f t="shared" si="2"/>
        <v>0</v>
      </c>
      <c r="L57" s="56">
        <f t="shared" si="2"/>
        <v>0</v>
      </c>
      <c r="M57" s="57">
        <f t="shared" si="2"/>
        <v>0</v>
      </c>
      <c r="N57" s="16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 x14ac:dyDescent="0.25">
      <c r="A58" s="53"/>
      <c r="B58" s="30"/>
      <c r="C58" s="30"/>
      <c r="D58" s="30"/>
      <c r="E58" s="30"/>
      <c r="F58" s="48"/>
      <c r="G58" s="30"/>
      <c r="H58" s="30"/>
      <c r="I58" s="30"/>
      <c r="J58" s="30"/>
      <c r="K58" s="30"/>
      <c r="L58" s="30"/>
      <c r="M58" s="32"/>
      <c r="N58" s="16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 x14ac:dyDescent="0.25">
      <c r="A59" s="63" t="s">
        <v>91</v>
      </c>
      <c r="B59" s="64" t="s">
        <v>36</v>
      </c>
      <c r="C59" s="64" t="s">
        <v>37</v>
      </c>
      <c r="D59" s="64" t="s">
        <v>38</v>
      </c>
      <c r="E59" s="64" t="s">
        <v>39</v>
      </c>
      <c r="F59" s="64" t="s">
        <v>40</v>
      </c>
      <c r="G59" s="64" t="s">
        <v>41</v>
      </c>
      <c r="H59" s="64" t="s">
        <v>42</v>
      </c>
      <c r="I59" s="64" t="s">
        <v>43</v>
      </c>
      <c r="J59" s="64" t="s">
        <v>44</v>
      </c>
      <c r="K59" s="64" t="s">
        <v>45</v>
      </c>
      <c r="L59" s="64" t="s">
        <v>46</v>
      </c>
      <c r="M59" s="65" t="s">
        <v>47</v>
      </c>
      <c r="N59" s="16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 x14ac:dyDescent="0.25">
      <c r="A60" s="53" t="s">
        <v>92</v>
      </c>
      <c r="B60" s="66">
        <f t="shared" ref="B60:M60" si="3">SUM(B4:B6)</f>
        <v>0</v>
      </c>
      <c r="C60" s="66">
        <f t="shared" si="3"/>
        <v>0</v>
      </c>
      <c r="D60" s="66">
        <f t="shared" si="3"/>
        <v>0</v>
      </c>
      <c r="E60" s="66">
        <f t="shared" si="3"/>
        <v>0</v>
      </c>
      <c r="F60" s="66">
        <f t="shared" si="3"/>
        <v>0</v>
      </c>
      <c r="G60" s="66">
        <f t="shared" si="3"/>
        <v>0</v>
      </c>
      <c r="H60" s="66">
        <f t="shared" si="3"/>
        <v>0</v>
      </c>
      <c r="I60" s="66">
        <f t="shared" si="3"/>
        <v>0</v>
      </c>
      <c r="J60" s="66">
        <f t="shared" si="3"/>
        <v>0</v>
      </c>
      <c r="K60" s="66">
        <f t="shared" si="3"/>
        <v>0</v>
      </c>
      <c r="L60" s="66">
        <f t="shared" si="3"/>
        <v>0</v>
      </c>
      <c r="M60" s="67">
        <f t="shared" si="3"/>
        <v>0</v>
      </c>
      <c r="N60" s="16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 x14ac:dyDescent="0.25">
      <c r="A61" s="53" t="s">
        <v>93</v>
      </c>
      <c r="B61" s="44">
        <f t="shared" ref="B61:M61" si="4">B35</f>
        <v>0</v>
      </c>
      <c r="C61" s="44">
        <f t="shared" si="4"/>
        <v>0</v>
      </c>
      <c r="D61" s="44">
        <f t="shared" si="4"/>
        <v>0</v>
      </c>
      <c r="E61" s="44">
        <f t="shared" si="4"/>
        <v>0</v>
      </c>
      <c r="F61" s="44">
        <f t="shared" si="4"/>
        <v>0</v>
      </c>
      <c r="G61" s="44">
        <f t="shared" si="4"/>
        <v>0</v>
      </c>
      <c r="H61" s="44">
        <f t="shared" si="4"/>
        <v>0</v>
      </c>
      <c r="I61" s="44">
        <f t="shared" si="4"/>
        <v>0</v>
      </c>
      <c r="J61" s="44">
        <f t="shared" si="4"/>
        <v>0</v>
      </c>
      <c r="K61" s="44">
        <f t="shared" si="4"/>
        <v>0</v>
      </c>
      <c r="L61" s="44">
        <f t="shared" si="4"/>
        <v>0</v>
      </c>
      <c r="M61" s="45">
        <f t="shared" si="4"/>
        <v>0</v>
      </c>
      <c r="N61" s="16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 x14ac:dyDescent="0.25">
      <c r="A62" s="53" t="s">
        <v>94</v>
      </c>
      <c r="B62" s="44">
        <f t="shared" ref="B62:M62" si="5">B57</f>
        <v>0</v>
      </c>
      <c r="C62" s="44">
        <f t="shared" si="5"/>
        <v>0</v>
      </c>
      <c r="D62" s="44">
        <f t="shared" si="5"/>
        <v>0</v>
      </c>
      <c r="E62" s="44">
        <f t="shared" si="5"/>
        <v>0</v>
      </c>
      <c r="F62" s="44">
        <f t="shared" si="5"/>
        <v>0</v>
      </c>
      <c r="G62" s="44">
        <f t="shared" si="5"/>
        <v>0</v>
      </c>
      <c r="H62" s="44">
        <f t="shared" si="5"/>
        <v>0</v>
      </c>
      <c r="I62" s="44">
        <f t="shared" si="5"/>
        <v>0</v>
      </c>
      <c r="J62" s="44">
        <f t="shared" si="5"/>
        <v>0</v>
      </c>
      <c r="K62" s="44">
        <f t="shared" si="5"/>
        <v>0</v>
      </c>
      <c r="L62" s="44">
        <f t="shared" si="5"/>
        <v>0</v>
      </c>
      <c r="M62" s="45">
        <f t="shared" si="5"/>
        <v>0</v>
      </c>
      <c r="N62" s="16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 x14ac:dyDescent="0.25">
      <c r="A63" s="53" t="s">
        <v>95</v>
      </c>
      <c r="B63" s="68">
        <f t="shared" ref="B63:M63" si="6">B61+B62</f>
        <v>0</v>
      </c>
      <c r="C63" s="68">
        <f t="shared" si="6"/>
        <v>0</v>
      </c>
      <c r="D63" s="68">
        <f t="shared" si="6"/>
        <v>0</v>
      </c>
      <c r="E63" s="68">
        <f t="shared" si="6"/>
        <v>0</v>
      </c>
      <c r="F63" s="68">
        <f t="shared" si="6"/>
        <v>0</v>
      </c>
      <c r="G63" s="68">
        <f t="shared" si="6"/>
        <v>0</v>
      </c>
      <c r="H63" s="68">
        <f t="shared" si="6"/>
        <v>0</v>
      </c>
      <c r="I63" s="68">
        <f t="shared" si="6"/>
        <v>0</v>
      </c>
      <c r="J63" s="68">
        <f t="shared" si="6"/>
        <v>0</v>
      </c>
      <c r="K63" s="68">
        <f t="shared" si="6"/>
        <v>0</v>
      </c>
      <c r="L63" s="68">
        <f t="shared" si="6"/>
        <v>0</v>
      </c>
      <c r="M63" s="69">
        <f t="shared" si="6"/>
        <v>0</v>
      </c>
      <c r="N63" s="16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 x14ac:dyDescent="0.25">
      <c r="A64" s="70" t="s">
        <v>96</v>
      </c>
      <c r="B64" s="71">
        <f t="shared" ref="B64:M64" si="7">B60-B63</f>
        <v>0</v>
      </c>
      <c r="C64" s="71">
        <f t="shared" si="7"/>
        <v>0</v>
      </c>
      <c r="D64" s="71">
        <f t="shared" si="7"/>
        <v>0</v>
      </c>
      <c r="E64" s="71">
        <f t="shared" si="7"/>
        <v>0</v>
      </c>
      <c r="F64" s="71">
        <f t="shared" si="7"/>
        <v>0</v>
      </c>
      <c r="G64" s="71">
        <f t="shared" si="7"/>
        <v>0</v>
      </c>
      <c r="H64" s="71">
        <f t="shared" si="7"/>
        <v>0</v>
      </c>
      <c r="I64" s="71">
        <f t="shared" si="7"/>
        <v>0</v>
      </c>
      <c r="J64" s="71">
        <f t="shared" si="7"/>
        <v>0</v>
      </c>
      <c r="K64" s="71">
        <f t="shared" si="7"/>
        <v>0</v>
      </c>
      <c r="L64" s="71">
        <f t="shared" si="7"/>
        <v>0</v>
      </c>
      <c r="M64" s="72">
        <f t="shared" si="7"/>
        <v>0</v>
      </c>
      <c r="N64" s="16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 x14ac:dyDescent="0.25">
      <c r="A65" s="54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4"/>
      <c r="N65" s="16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 x14ac:dyDescent="0.25">
      <c r="A66" s="75" t="s">
        <v>97</v>
      </c>
      <c r="B66" s="76"/>
      <c r="C66" s="77"/>
      <c r="D66" s="77"/>
      <c r="E66" s="77"/>
      <c r="F66" s="78"/>
      <c r="G66" s="77"/>
      <c r="H66" s="77"/>
      <c r="I66" s="77"/>
      <c r="J66" s="77"/>
      <c r="K66" s="77"/>
      <c r="L66" s="77"/>
      <c r="M66" s="79"/>
      <c r="N66" s="16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 x14ac:dyDescent="0.25">
      <c r="A67" s="80"/>
      <c r="B67" s="30"/>
      <c r="C67" s="30"/>
      <c r="D67" s="30"/>
      <c r="E67" s="30"/>
      <c r="F67" s="48"/>
      <c r="G67" s="30"/>
      <c r="H67" s="30"/>
      <c r="I67" s="30"/>
      <c r="J67" s="30"/>
      <c r="K67" s="30"/>
      <c r="L67" s="30"/>
      <c r="M67" s="32"/>
      <c r="N67" s="16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 x14ac:dyDescent="0.25">
      <c r="A68" s="46" t="s">
        <v>98</v>
      </c>
      <c r="B68" s="81">
        <f>IFERROR(AVERAGEIF(B60:M60,"&gt;0"),0)</f>
        <v>0</v>
      </c>
      <c r="C68" s="30"/>
      <c r="D68" s="30"/>
      <c r="E68" s="30"/>
      <c r="F68" s="48"/>
      <c r="G68" s="30"/>
      <c r="H68" s="30"/>
      <c r="I68" s="30"/>
      <c r="J68" s="30"/>
      <c r="K68" s="30"/>
      <c r="L68" s="30"/>
      <c r="M68" s="32"/>
      <c r="N68" s="16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 x14ac:dyDescent="0.25">
      <c r="A69" s="29" t="s">
        <v>99</v>
      </c>
      <c r="B69" s="44">
        <f>IFERROR(AVERAGEIF(B63:M63,"&gt;0"),0)</f>
        <v>0</v>
      </c>
      <c r="C69" s="30"/>
      <c r="D69" s="30"/>
      <c r="E69" s="30"/>
      <c r="F69" s="48"/>
      <c r="G69" s="30"/>
      <c r="H69" s="30"/>
      <c r="I69" s="30"/>
      <c r="J69" s="30"/>
      <c r="K69" s="30"/>
      <c r="L69" s="30"/>
      <c r="M69" s="32"/>
      <c r="N69" s="16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 x14ac:dyDescent="0.25">
      <c r="A70" s="29" t="s">
        <v>100</v>
      </c>
      <c r="B70" s="81">
        <f>B69*0.15</f>
        <v>0</v>
      </c>
      <c r="C70" s="82"/>
      <c r="D70" s="82"/>
      <c r="E70" s="30"/>
      <c r="F70" s="48"/>
      <c r="G70" s="30"/>
      <c r="H70" s="30"/>
      <c r="I70" s="30"/>
      <c r="J70" s="30"/>
      <c r="K70" s="30"/>
      <c r="L70" s="30"/>
      <c r="M70" s="32"/>
      <c r="N70" s="16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7.5" customHeight="1" x14ac:dyDescent="0.25">
      <c r="A71" s="52"/>
      <c r="B71" s="83"/>
      <c r="C71" s="84"/>
      <c r="D71" s="85"/>
      <c r="E71" s="30"/>
      <c r="F71" s="48"/>
      <c r="G71" s="30"/>
      <c r="H71" s="30"/>
      <c r="I71" s="30"/>
      <c r="J71" s="30"/>
      <c r="K71" s="30"/>
      <c r="L71" s="30"/>
      <c r="M71" s="32"/>
      <c r="N71" s="16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 x14ac:dyDescent="0.25">
      <c r="A72" s="86" t="s">
        <v>101</v>
      </c>
      <c r="B72" s="87">
        <f>B69+B70</f>
        <v>0</v>
      </c>
      <c r="C72" s="84"/>
      <c r="D72" s="88" t="s">
        <v>102</v>
      </c>
      <c r="E72" s="30"/>
      <c r="F72" s="48"/>
      <c r="G72" s="30"/>
      <c r="H72" s="30"/>
      <c r="I72" s="30"/>
      <c r="J72" s="30"/>
      <c r="K72" s="30"/>
      <c r="L72" s="30"/>
      <c r="M72" s="32"/>
      <c r="N72" s="16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 x14ac:dyDescent="0.25">
      <c r="A73" s="29"/>
      <c r="B73" s="30"/>
      <c r="C73" s="30"/>
      <c r="D73" s="30"/>
      <c r="E73" s="30"/>
      <c r="F73" s="48"/>
      <c r="G73" s="30"/>
      <c r="H73" s="30"/>
      <c r="I73" s="30"/>
      <c r="J73" s="30"/>
      <c r="K73" s="30"/>
      <c r="L73" s="30"/>
      <c r="M73" s="32"/>
      <c r="N73" s="16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 x14ac:dyDescent="0.25">
      <c r="A74" s="75" t="s">
        <v>103</v>
      </c>
      <c r="B74" s="76"/>
      <c r="C74" s="77"/>
      <c r="D74" s="77"/>
      <c r="E74" s="77"/>
      <c r="F74" s="78"/>
      <c r="G74" s="77"/>
      <c r="H74" s="77"/>
      <c r="I74" s="77"/>
      <c r="J74" s="77"/>
      <c r="K74" s="77"/>
      <c r="L74" s="77"/>
      <c r="M74" s="79"/>
      <c r="N74" s="16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 x14ac:dyDescent="0.25">
      <c r="A75" s="29"/>
      <c r="B75" s="30"/>
      <c r="C75" s="30"/>
      <c r="D75" s="30"/>
      <c r="E75" s="30"/>
      <c r="F75" s="48"/>
      <c r="G75" s="30"/>
      <c r="H75" s="30"/>
      <c r="I75" s="30"/>
      <c r="J75" s="30"/>
      <c r="K75" s="30"/>
      <c r="L75" s="30"/>
      <c r="M75" s="32"/>
      <c r="N75" s="16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 x14ac:dyDescent="0.25">
      <c r="A76" s="89" t="s">
        <v>104</v>
      </c>
      <c r="B76" s="90"/>
      <c r="C76" s="30"/>
      <c r="D76" s="91" t="s">
        <v>105</v>
      </c>
      <c r="E76" s="30"/>
      <c r="F76" s="48"/>
      <c r="G76" s="30"/>
      <c r="H76" s="30"/>
      <c r="I76" s="30"/>
      <c r="J76" s="30"/>
      <c r="K76" s="30"/>
      <c r="L76" s="30"/>
      <c r="M76" s="32"/>
      <c r="N76" s="16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 x14ac:dyDescent="0.25">
      <c r="A77" s="86" t="s">
        <v>106</v>
      </c>
      <c r="B77" s="87">
        <f>IF(B76&gt;0,B72*B76,0)</f>
        <v>0</v>
      </c>
      <c r="C77" s="92"/>
      <c r="D77" s="93" t="s">
        <v>107</v>
      </c>
      <c r="E77" s="30"/>
      <c r="F77" s="48"/>
      <c r="G77" s="30"/>
      <c r="H77" s="30"/>
      <c r="I77" s="30"/>
      <c r="J77" s="30"/>
      <c r="K77" s="30"/>
      <c r="L77" s="30"/>
      <c r="M77" s="32"/>
      <c r="N77" s="16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 x14ac:dyDescent="0.25">
      <c r="A78" s="29" t="s">
        <v>108</v>
      </c>
      <c r="B78" s="94"/>
      <c r="C78" s="30"/>
      <c r="D78" s="30"/>
      <c r="E78" s="30"/>
      <c r="F78" s="48"/>
      <c r="G78" s="30"/>
      <c r="H78" s="30"/>
      <c r="I78" s="30"/>
      <c r="J78" s="30"/>
      <c r="K78" s="30"/>
      <c r="L78" s="30"/>
      <c r="M78" s="32"/>
      <c r="N78" s="16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 x14ac:dyDescent="0.25">
      <c r="A79" s="29" t="s">
        <v>109</v>
      </c>
      <c r="B79" s="95">
        <f>IFERROR(B78/B77,0)</f>
        <v>0</v>
      </c>
      <c r="C79" s="30"/>
      <c r="D79" s="30"/>
      <c r="E79" s="30"/>
      <c r="F79" s="48"/>
      <c r="G79" s="30"/>
      <c r="H79" s="30"/>
      <c r="I79" s="30"/>
      <c r="J79" s="30"/>
      <c r="K79" s="30"/>
      <c r="L79" s="30"/>
      <c r="M79" s="32"/>
      <c r="N79" s="16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 x14ac:dyDescent="0.25">
      <c r="A80" s="96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32"/>
      <c r="N80" s="16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 x14ac:dyDescent="0.25">
      <c r="A81" s="29" t="s">
        <v>110</v>
      </c>
      <c r="B81" s="97">
        <f>MIN(B78,B77)</f>
        <v>0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32"/>
      <c r="N81" s="16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 x14ac:dyDescent="0.25">
      <c r="A82" s="29" t="s">
        <v>111</v>
      </c>
      <c r="B82" s="97">
        <f>MAX(B77-B78,0)</f>
        <v>0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32"/>
      <c r="N82" s="16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 x14ac:dyDescent="0.25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32"/>
      <c r="N83" s="16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 x14ac:dyDescent="0.25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32"/>
      <c r="N84" s="16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 x14ac:dyDescent="0.2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32"/>
      <c r="N85" s="16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 x14ac:dyDescent="0.25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32"/>
      <c r="N86" s="16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 x14ac:dyDescent="0.25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32"/>
      <c r="N87" s="16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 x14ac:dyDescent="0.25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32"/>
      <c r="N88" s="16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 x14ac:dyDescent="0.25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32"/>
      <c r="N89" s="16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 x14ac:dyDescent="0.25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8"/>
      <c r="N90" s="16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 x14ac:dyDescent="0.25">
      <c r="A91" s="99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1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9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4.2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4.2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4.2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4.2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4.2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4.2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4.2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4.2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4.2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4.2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4.2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4.2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4.2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4.2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4.2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4.2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4.2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4.2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4.2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4.2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4.2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4.2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4.2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4.2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4.2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4.2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4.2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4.2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4.2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4.2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4.2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4.2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4.2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4.2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4.2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4.2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4.2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4.2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4.2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4.2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4.2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4.2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4.2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4.2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4.2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4.2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4.2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4.2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4.2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4.2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4.2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4.2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4.2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4.2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4.2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4.2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4.2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4.2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4.2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4.2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4.2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4.2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4.2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4.2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4.2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4.2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4.2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4.2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4.2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4.2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4.2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4.2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4.2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4.2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4.2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4.2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4.2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4.2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4.2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4.2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2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4.2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4.2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4.2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4.2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4.2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4.2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4.2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4.2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4.2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4.2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4.2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4.2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4.2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4.2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4.2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4.2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4.2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4.2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4.2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4.2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4.2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4.2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4.2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4.2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4.2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4.2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4.2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4.2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4.2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4.2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4.2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4.2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4.2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4.2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4.2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4.2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4.2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4.2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4.2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4.2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4.2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4.2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4.2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4.2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4.2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4.2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4.2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4.2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4.2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4.2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4.2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4.2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4.2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4.2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4.2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4.2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4.2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4.2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4.2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4.2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4.2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4.2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4.2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4.2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4.2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4.2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4.2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4.2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4.2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4.2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4.2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4.2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4.2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4.2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4.2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4.2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4.2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4.2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4.2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4.2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4.2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4.2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4.2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4.2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4.2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4.2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4.2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4.2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4.2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4.2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4.2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4.2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4.2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4.2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4.2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4.2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4.2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4.2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4.2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4.2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4.2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4.2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4.2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4.2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4.2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4.2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4.2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4.2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4.2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4.2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4.2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4.2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4.2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4.2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4.2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4.2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4.2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4.2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4.2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4.2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4.2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4.2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4.2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4.2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4.2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4.2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4.2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4.2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4.2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4.2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4.2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4.2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4.2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4.2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4.2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4.2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4.2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4.2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4.2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4.2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4.2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4.2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4.2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4.2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4.2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4.2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4.2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4.2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4.2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4.2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4.2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4.2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4.2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4.2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4.2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4.2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4.2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4.2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4.2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4.2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4.2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4.2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4.2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4.2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4.2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4.2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4.2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4.2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4.2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4.2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4.2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4.2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4.2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4.2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4.2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4.2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4.2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4.2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4.2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4.2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4.2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4.2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4.2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4.2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4.2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4.2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4.2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4.2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4.2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4.2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4.2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4.2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4.2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4.2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4.2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4.2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4.2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4.2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4.2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4.2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4.2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4.2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4.2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4.2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4.2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4.2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4.2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4.2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4.2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4.2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4.2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4.2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4.2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4.2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4.2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4.2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4.2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4.2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4.2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4.2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4.2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4.2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4.2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4.2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4.2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4.2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4.2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4.2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4.2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4.2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4.2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4.2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4.2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4.2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4.2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4.2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4.2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4.2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4.2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4.2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4.2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4.2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4.2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4.2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4.2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4.2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4.2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4.2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4.2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4.2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4.2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4.2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4.2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4.2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4.2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4.2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4.2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4.2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4.2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4.2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4.2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4.2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4.2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4.2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4.2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4.2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4.2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4.2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4.2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4.2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4.2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4.2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4.2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4.2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4.2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4.2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4.2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4.2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4.2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4.2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4.2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4.2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4.2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4.2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4.2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4.2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4.2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4.2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4.2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4.2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4.25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4.25" customHeight="1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4.25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4.25" customHeight="1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4.25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4.25" customHeight="1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4.25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4.25" customHeight="1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4.25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4.25" customHeight="1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4.25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4.25" customHeight="1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4.25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4.25" customHeight="1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4.25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4.25" customHeight="1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4.25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4.25" customHeight="1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4.25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4.25" customHeight="1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4.25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4.25" customHeight="1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4.25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4.25" customHeight="1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4.25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4.25" customHeight="1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4.25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4.25" customHeight="1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4.25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4.25" customHeight="1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4.25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4.25" customHeight="1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4.25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4.25" customHeight="1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4.25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4.25" customHeight="1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4.25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4.25" customHeight="1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4.25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4.25" customHeight="1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4.25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4.25" customHeight="1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4.25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4.25" customHeight="1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4.25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4.25" customHeight="1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4.25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4.25" customHeight="1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4.25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4.25" customHeight="1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4.25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4.25" customHeight="1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4.25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4.25" customHeight="1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4.25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4.25" customHeight="1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4.25" customHeight="1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4.25" customHeight="1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4.25" customHeight="1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4.25" customHeight="1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102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4.25" customHeight="1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102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4.25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102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4.25" customHeight="1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102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4.25" customHeight="1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102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4.25" customHeight="1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102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4.25" customHeight="1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102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4.25" customHeight="1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102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4.25" customHeight="1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102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4.25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102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4.25" customHeight="1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102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4.25" customHeight="1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102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4.25" customHeight="1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102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4.25" customHeight="1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102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4.25" customHeight="1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102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4.25" customHeight="1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102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4.25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102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4.25" customHeight="1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102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4.25" customHeight="1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102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4.25" customHeight="1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102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4.25" customHeight="1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102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4.25" customHeight="1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102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4.25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102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4.25" customHeight="1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102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4.25" customHeight="1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102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4.25" customHeight="1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102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4.25" customHeight="1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102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4.25" customHeight="1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102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4.25" customHeight="1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102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4.25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102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4.25" customHeight="1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102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4.25" customHeight="1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102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4.25" customHeight="1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102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4.25" customHeight="1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102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4.25" customHeight="1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102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4.25" customHeight="1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102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4.25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102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4.25" customHeight="1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102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4.25" customHeight="1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102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4.25" customHeight="1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102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4.25" customHeight="1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102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4.25" customHeight="1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102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4.25" customHeight="1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102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4.25" customHeight="1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102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4.25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102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4.25" customHeight="1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102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4.25" customHeight="1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102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4.25" customHeight="1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102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4.25" customHeight="1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102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4.25" customHeight="1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102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4.25" customHeight="1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102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4.25" customHeight="1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102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4.25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102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4.25" customHeight="1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102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4.25" customHeight="1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102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4.25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102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4.25" customHeight="1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102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4.25" customHeight="1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102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4.25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102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4.25" customHeight="1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102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4.25" customHeight="1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102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4.25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102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4.25" customHeight="1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102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4.25" customHeight="1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102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4.25" customHeight="1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102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4.25" customHeight="1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102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4.25" customHeight="1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102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4.25" customHeight="1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102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4.25" customHeight="1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102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4.25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102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4.25" customHeight="1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102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4.25" customHeight="1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102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4.25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102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4.25" customHeight="1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102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4.25" customHeight="1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102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4.25" customHeight="1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102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4.25" customHeight="1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102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4.25" customHeight="1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102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4.25" customHeight="1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102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4.25" customHeight="1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102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4.25" customHeight="1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102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4.25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102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4.25" customHeight="1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102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4.25" customHeight="1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102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4.25" customHeight="1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102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4.25" customHeight="1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102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4.25" customHeight="1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102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4.25" customHeight="1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102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4.25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102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4.25" customHeight="1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102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4.25" customHeight="1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102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4.25" customHeight="1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102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4.25" customHeight="1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102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4.25" customHeight="1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102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4.25" customHeight="1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102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4.25" customHeight="1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102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4.25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102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4.25" customHeight="1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102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4.25" customHeight="1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102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4.25" customHeight="1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102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4.25" customHeight="1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102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4.25" customHeight="1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102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4.25" customHeight="1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102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4.25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102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4.25" customHeight="1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102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4.25" customHeight="1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102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4.25" customHeight="1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102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4.25" customHeight="1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102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4.25" customHeight="1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102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4.25" customHeight="1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102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4.25" customHeight="1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102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4.25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102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4.25" customHeight="1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102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4.25" customHeight="1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102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4.25" customHeight="1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102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4.25" customHeight="1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102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4.25" customHeight="1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102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4.25" customHeight="1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102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4.25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102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4.25" customHeight="1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102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4.25" customHeight="1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102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4.25" customHeight="1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102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4.25" customHeight="1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102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4.25" customHeight="1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102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4.25" customHeight="1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102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4.25" customHeight="1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102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4.25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102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4.25" customHeight="1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102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4.25" customHeight="1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102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4.25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102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4.25" customHeight="1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102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4.25" customHeight="1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102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4.25" customHeight="1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102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4.25" customHeight="1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102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4.25" customHeight="1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102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4.25" customHeight="1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102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4.25" customHeight="1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102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4.25" customHeight="1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102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4.25" customHeight="1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102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4.25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102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4.25" customHeight="1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102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4.25" customHeight="1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102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4.25" customHeight="1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102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4.25" customHeight="1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102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4.25" customHeight="1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102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4.25" customHeight="1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102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4.25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102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4.25" customHeight="1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102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4.25" customHeight="1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102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4.25" customHeight="1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102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4.25" customHeight="1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102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4.25" customHeight="1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102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4.25" customHeight="1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102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4.25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102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4.25" customHeight="1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102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4.25" customHeight="1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102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4.25" customHeight="1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102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4.25" customHeight="1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102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4.25" customHeight="1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102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4.25" customHeight="1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102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4.25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102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4.25" customHeight="1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102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4.25" customHeight="1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102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4.25" customHeight="1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102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4.25" customHeight="1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102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4.25" customHeight="1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102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4.25" customHeight="1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102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4.25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102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4.25" customHeight="1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102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4.25" customHeight="1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102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4.25" customHeight="1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102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4.25" customHeight="1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102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4.25" customHeight="1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102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4.25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102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4.25" customHeight="1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102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4.25" customHeight="1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102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4.25" customHeight="1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102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4.25" customHeight="1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102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4.25" customHeight="1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102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4.25" customHeight="1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102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4.25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102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4.25" customHeight="1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102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4.25" customHeight="1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102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4.25" customHeight="1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102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4.25" customHeight="1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102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4.25" customHeight="1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102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4.25" customHeight="1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102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4.25" customHeight="1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102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4.25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102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4.25" customHeight="1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102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4.25" customHeight="1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102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4.25" customHeight="1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102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4.25" customHeight="1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102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4.25" customHeight="1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102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4.25" customHeight="1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102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4.25" customHeight="1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102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4.25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102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4.25" customHeight="1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102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4.25" customHeight="1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102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4.25" customHeight="1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102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4.25" customHeight="1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102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4.25" customHeight="1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102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4.25" customHeight="1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102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4.25" customHeight="1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102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4.25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102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4.25" customHeight="1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102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4.25" customHeight="1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102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4.25" customHeight="1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102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4.25" customHeight="1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102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4.25" customHeight="1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102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4.25" customHeight="1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102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4.25" customHeight="1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102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4.25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102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4.25" customHeight="1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102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4.25" customHeight="1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102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4.25" customHeight="1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102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4.25" customHeight="1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102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4.25" customHeight="1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102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4.25" customHeight="1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102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4.25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102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4.25" customHeight="1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102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4.25" customHeight="1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102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4.25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102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4.25" customHeight="1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102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4.25" customHeight="1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102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4.25" customHeight="1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102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4.25" customHeight="1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102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4.25" customHeight="1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102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4.25" customHeight="1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102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4.25" customHeight="1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102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4.25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102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4.25" customHeight="1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102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4.25" customHeight="1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102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4.25" customHeight="1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102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4.25" customHeight="1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102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4.25" customHeight="1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102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4.25" customHeight="1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102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4.25" customHeight="1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102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4.25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102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4.25" customHeight="1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102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4.25" customHeight="1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102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4.25" customHeight="1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102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4.25" customHeight="1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102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4.25" customHeight="1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102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4.25" customHeight="1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102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4.25" customHeight="1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102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4.25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102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4.25" customHeight="1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102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4.25" customHeight="1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102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4.25" customHeight="1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102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4.25" customHeight="1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102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4.25" customHeight="1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102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4.25" customHeight="1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102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4.25" customHeight="1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102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4.25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102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4.25" customHeight="1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102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4.25" customHeight="1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102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4.25" customHeight="1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102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4.25" customHeight="1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102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4.25" customHeight="1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102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4.25" customHeight="1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102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4.25" customHeight="1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102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4.25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102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4.25" customHeight="1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102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4.25" customHeight="1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102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4.25" customHeight="1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102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4.25" customHeight="1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102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4.25" customHeight="1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102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4.25" customHeight="1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102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4.25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102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4.25" customHeight="1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102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4.25" customHeight="1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102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4.25" customHeight="1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102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4.25" customHeight="1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102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4.25" customHeight="1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102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4.25" customHeight="1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102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4.25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102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4.25" customHeight="1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102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4.25" customHeight="1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102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4.25" customHeight="1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102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4.25" customHeight="1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102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4.25" customHeight="1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102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4.25" customHeight="1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102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4.25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102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4.25" customHeight="1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102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4.25" customHeight="1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102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4.25" customHeight="1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102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4.25" customHeight="1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102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4.25" customHeight="1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102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4.25" customHeight="1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102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4.25" customHeight="1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102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4.25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102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4.25" customHeight="1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102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4.25" customHeight="1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102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4.25" customHeight="1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102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4.25" customHeight="1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102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4.25" customHeight="1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102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4.25" customHeight="1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102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4.25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102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4.25" customHeight="1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102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4.25" customHeight="1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102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4.25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102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4.25" customHeight="1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102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4.25" customHeight="1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102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4.25" customHeight="1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102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4.25" customHeight="1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102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4.25" customHeight="1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102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4.25" customHeight="1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102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4.25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102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4.25" customHeight="1" x14ac:dyDescent="0.25"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102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4.25" customHeight="1" x14ac:dyDescent="0.25"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102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4.25" customHeight="1" x14ac:dyDescent="0.25">
      <c r="N985" s="102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4.25" customHeight="1" x14ac:dyDescent="0.25">
      <c r="N986" s="102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4.25" customHeight="1" x14ac:dyDescent="0.25">
      <c r="N987" s="102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4.25" customHeight="1" x14ac:dyDescent="0.25">
      <c r="N988" s="102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4.25" customHeight="1" x14ac:dyDescent="0.25">
      <c r="N989" s="102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</sheetData>
  <autoFilter ref="A76:B78" xr:uid="{00000000-0009-0000-0000-000001000000}"/>
  <conditionalFormatting sqref="B64:M64">
    <cfRule type="cellIs" dxfId="1" priority="2" operator="greaterThanOrEqual">
      <formula>0</formula>
    </cfRule>
    <cfRule type="cellIs" dxfId="0" priority="3" operator="lessThan">
      <formula>0</formula>
    </cfRule>
  </conditionalFormatting>
  <conditionalFormatting sqref="B79">
    <cfRule type="dataBar" priority="4">
      <dataBar>
        <cfvo type="num" val="0"/>
        <cfvo type="num" val="1"/>
        <color rgb="FF6AA84F"/>
      </dataBar>
      <extLst>
        <ext xmlns:x14="http://schemas.microsoft.com/office/spreadsheetml/2009/9/main" uri="{B025F937-C7B1-47D3-B67F-A62EFF666E3E}">
          <x14:id>{005B34FB-708A-4C3B-93B4-30CD838C551B}</x14:id>
        </ext>
      </extLst>
    </cfRule>
  </conditionalFormatting>
  <pageMargins left="0.75" right="0.75" top="1" bottom="1" header="0.511811023622047" footer="0.511811023622047"/>
  <pageSetup paperSize="9" fitToHeight="0" orientation="landscape" horizontalDpi="300" verticalDpi="30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5B34FB-708A-4C3B-93B4-30CD838C551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AA84F"/>
            </x14:dataBar>
          </x14:cfRule>
          <xm:sqref>B79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Boas-vindas</vt:lpstr>
      <vt:lpstr>Cálculo do Seu Número da Paz</vt:lpstr>
      <vt:lpstr>'Cálculo do Seu Número da Paz'!Area_de_impressao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Marcelo Blois</cp:lastModifiedBy>
  <cp:revision>4</cp:revision>
  <dcterms:created xsi:type="dcterms:W3CDTF">2026-06-29T02:33:11Z</dcterms:created>
  <dcterms:modified xsi:type="dcterms:W3CDTF">2026-07-01T19:19:27Z</dcterms:modified>
  <dc:language>en-US</dc:language>
</cp:coreProperties>
</file>